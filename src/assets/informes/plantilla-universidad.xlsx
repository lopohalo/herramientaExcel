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is-my.sharepoint.com/personal/dlsanmal_uis_edu_co/Documents/Escritorio/"/>
    </mc:Choice>
  </mc:AlternateContent>
  <xr:revisionPtr revIDLastSave="8" documentId="8_{542560C1-FD17-427A-A3EF-DBF6970140E6}" xr6:coauthVersionLast="47" xr6:coauthVersionMax="47" xr10:uidLastSave="{4D51CB14-98A8-4915-8070-9869FED782E2}"/>
  <bookViews>
    <workbookView xWindow="-120" yWindow="-120" windowWidth="29040" windowHeight="15720" xr2:uid="{27D6BBBB-BB09-4876-AFDE-94339C22C4C4}"/>
  </bookViews>
  <sheets>
    <sheet name="SEPTIEMBRE 2026" sheetId="1" r:id="rId1"/>
  </sheets>
  <externalReferences>
    <externalReference r:id="rId2"/>
  </externalReferences>
  <definedNames>
    <definedName name="_xlnm._FilterDatabase" localSheetId="0" hidden="1">'SEPTIEMBRE 2026'!$A$9:$BQ$25</definedName>
    <definedName name="_xlnm.Print_Area" localSheetId="0">'SEPTIEMBRE 2026'!$A$1:$L$55</definedName>
    <definedName name="TRM">[1]DATOS!$C$3</definedName>
    <definedName name="UVR">[1]DATOS!$C$4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Q48" i="1"/>
  <c r="S47" i="1"/>
  <c r="Q47" i="1"/>
  <c r="S46" i="1"/>
  <c r="Q46" i="1"/>
  <c r="S45" i="1"/>
  <c r="Q45" i="1"/>
  <c r="S44" i="1"/>
  <c r="Q44" i="1"/>
  <c r="R44" i="1"/>
  <c r="S43" i="1"/>
  <c r="Q43" i="1"/>
  <c r="S42" i="1"/>
  <c r="Q42" i="1"/>
  <c r="R42" i="1"/>
  <c r="S41" i="1"/>
  <c r="Q41" i="1"/>
  <c r="S40" i="1"/>
  <c r="Q40" i="1"/>
  <c r="R40" i="1"/>
  <c r="S39" i="1"/>
  <c r="Q39" i="1"/>
  <c r="S38" i="1"/>
  <c r="Q38" i="1"/>
  <c r="S37" i="1"/>
  <c r="Q37" i="1"/>
  <c r="S36" i="1"/>
  <c r="Q36" i="1"/>
  <c r="S35" i="1"/>
  <c r="Q35" i="1"/>
  <c r="S34" i="1"/>
  <c r="Q34" i="1"/>
  <c r="S33" i="1"/>
  <c r="Q33" i="1"/>
  <c r="S32" i="1"/>
  <c r="Q32" i="1"/>
  <c r="S31" i="1"/>
  <c r="Q31" i="1"/>
  <c r="S30" i="1"/>
  <c r="Q30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S29" i="1"/>
  <c r="Q29" i="1"/>
  <c r="R27" i="1"/>
  <c r="Q27" i="1"/>
  <c r="S24" i="1"/>
  <c r="Q24" i="1"/>
  <c r="R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R17" i="1"/>
  <c r="S16" i="1"/>
  <c r="Q16" i="1"/>
  <c r="S15" i="1"/>
  <c r="Q15" i="1"/>
  <c r="R15" i="1"/>
  <c r="S14" i="1"/>
  <c r="Q14" i="1"/>
  <c r="S13" i="1"/>
  <c r="Q13" i="1"/>
  <c r="S12" i="1"/>
  <c r="Q12" i="1"/>
  <c r="R12" i="1"/>
  <c r="S11" i="1"/>
  <c r="Q11" i="1"/>
  <c r="S10" i="1"/>
  <c r="Q10" i="1"/>
  <c r="R10" i="1"/>
  <c r="N28" i="1"/>
  <c r="R46" i="1" l="1"/>
  <c r="P13" i="1"/>
  <c r="P23" i="1"/>
  <c r="R22" i="1"/>
  <c r="R30" i="1"/>
  <c r="R36" i="1"/>
  <c r="R38" i="1"/>
  <c r="R47" i="1"/>
  <c r="O12" i="1"/>
  <c r="R14" i="1"/>
  <c r="N15" i="1"/>
  <c r="R18" i="1"/>
  <c r="R20" i="1"/>
  <c r="R32" i="1"/>
  <c r="P46" i="1"/>
  <c r="R16" i="1"/>
  <c r="N24" i="1"/>
  <c r="P29" i="1"/>
  <c r="O40" i="1"/>
  <c r="P42" i="1"/>
  <c r="O44" i="1"/>
  <c r="R11" i="1"/>
  <c r="O30" i="1"/>
  <c r="P36" i="1"/>
  <c r="R41" i="1"/>
  <c r="R43" i="1"/>
  <c r="R45" i="1"/>
  <c r="R34" i="1"/>
  <c r="O19" i="1"/>
  <c r="R13" i="1"/>
  <c r="R23" i="1"/>
  <c r="R29" i="1"/>
  <c r="R31" i="1"/>
  <c r="R33" i="1"/>
  <c r="R35" i="1"/>
  <c r="R37" i="1"/>
  <c r="R39" i="1"/>
  <c r="P47" i="1"/>
  <c r="R48" i="1"/>
  <c r="N14" i="1"/>
  <c r="O20" i="1"/>
  <c r="R21" i="1"/>
  <c r="P11" i="1"/>
  <c r="O16" i="1"/>
  <c r="R19" i="1"/>
  <c r="N43" i="1"/>
  <c r="N41" i="1" l="1"/>
  <c r="O10" i="1"/>
  <c r="K25" i="1"/>
  <c r="P48" i="1"/>
  <c r="P25" i="1"/>
  <c r="O34" i="1"/>
  <c r="O49" i="1" s="1"/>
  <c r="N32" i="1"/>
  <c r="N21" i="1"/>
  <c r="N37" i="1"/>
  <c r="P28" i="1"/>
  <c r="O28" i="1"/>
  <c r="L49" i="1"/>
  <c r="P35" i="1"/>
  <c r="O22" i="1"/>
  <c r="P31" i="1"/>
  <c r="K49" i="1"/>
  <c r="N18" i="1"/>
  <c r="P38" i="1"/>
  <c r="P33" i="1"/>
  <c r="N49" i="1" l="1"/>
  <c r="P49" i="1"/>
  <c r="P50" i="1" s="1"/>
  <c r="N25" i="1"/>
  <c r="K50" i="1"/>
  <c r="O25" i="1"/>
  <c r="O50" i="1" s="1"/>
  <c r="L25" i="1"/>
  <c r="L50" i="1" s="1"/>
  <c r="N50" i="1" l="1"/>
</calcChain>
</file>

<file path=xl/sharedStrings.xml><?xml version="1.0" encoding="utf-8"?>
<sst xmlns="http://schemas.openxmlformats.org/spreadsheetml/2006/main" count="208" uniqueCount="73">
  <si>
    <t>UNIVERSIDAD INDUSTRIAL DE SANTANDER</t>
  </si>
  <si>
    <t>INVERSIONES - TÍTULOS UISALUD</t>
  </si>
  <si>
    <t>A SEPTIEMBRE 30 DE 2026</t>
  </si>
  <si>
    <t>FONDO RESERVA RECURSOS UIS 9704</t>
  </si>
  <si>
    <t>IPC Septiembre 2026</t>
  </si>
  <si>
    <t>No.</t>
  </si>
  <si>
    <t>Nemotecnico MEC</t>
  </si>
  <si>
    <t>Clase Titulo</t>
  </si>
  <si>
    <t>Emisor</t>
  </si>
  <si>
    <t>Tasa de Referencia</t>
  </si>
  <si>
    <t>Spread</t>
  </si>
  <si>
    <t>Periodicidad</t>
  </si>
  <si>
    <t xml:space="preserve">Fecha Emision </t>
  </si>
  <si>
    <t>Fecha Vcto</t>
  </si>
  <si>
    <t>Fecha Compra</t>
  </si>
  <si>
    <t>Valor Nominal Saldo en Moneda</t>
  </si>
  <si>
    <t>Vr. Compra</t>
  </si>
  <si>
    <t xml:space="preserve">BSFN120SA007  </t>
  </si>
  <si>
    <t>FS</t>
  </si>
  <si>
    <t>Trimestral</t>
  </si>
  <si>
    <t>BISA1249C006</t>
  </si>
  <si>
    <t>IPC</t>
  </si>
  <si>
    <t>CDTRCISO6270</t>
  </si>
  <si>
    <t>BESSU249A568315</t>
  </si>
  <si>
    <t>CDTDVISOV72458</t>
  </si>
  <si>
    <t xml:space="preserve">CDTBCBSOV7376 </t>
  </si>
  <si>
    <t xml:space="preserve">CDTBCB909190  </t>
  </si>
  <si>
    <t>TFIT05220829_93</t>
  </si>
  <si>
    <t>Anual</t>
  </si>
  <si>
    <t xml:space="preserve">BGCA1249A005  </t>
  </si>
  <si>
    <t>CDTBPOSOV11034</t>
  </si>
  <si>
    <t xml:space="preserve">CDTBPOSOV1180 </t>
  </si>
  <si>
    <t xml:space="preserve">CDTFDTSOV     </t>
  </si>
  <si>
    <t xml:space="preserve">BDVI126SF030  </t>
  </si>
  <si>
    <t xml:space="preserve">BBBO26SE24    </t>
  </si>
  <si>
    <t>CDTDVISOV_2373</t>
  </si>
  <si>
    <t>FONDO DE RESERVA RECURSOS PROPIOS 9705</t>
  </si>
  <si>
    <t>CDTBGASOV300373</t>
  </si>
  <si>
    <t>CDTBGASOV5138</t>
  </si>
  <si>
    <t xml:space="preserve">CDTBBO90      </t>
  </si>
  <si>
    <t xml:space="preserve">CDTBGASOV6278 </t>
  </si>
  <si>
    <t>CDTBCBSOV72465</t>
  </si>
  <si>
    <t>CDTBGASOV793749</t>
  </si>
  <si>
    <t xml:space="preserve">TFIT16180930  </t>
  </si>
  <si>
    <t>CDTBBO90_931120</t>
  </si>
  <si>
    <t xml:space="preserve">CDTBGA9631    </t>
  </si>
  <si>
    <t xml:space="preserve">BESSU249A005  </t>
  </si>
  <si>
    <t>CDTCSAS0V</t>
  </si>
  <si>
    <t xml:space="preserve">CDTDVISOV1699 </t>
  </si>
  <si>
    <t>TFIT05270230</t>
  </si>
  <si>
    <t>CDTBGASOV1976</t>
  </si>
  <si>
    <t xml:space="preserve">BBBO26SE48    </t>
  </si>
  <si>
    <t xml:space="preserve">CDTRCISO3107  </t>
  </si>
  <si>
    <t>BONO</t>
  </si>
  <si>
    <t>128 SERFINANZA</t>
  </si>
  <si>
    <t xml:space="preserve">107 ISA S.A                                  </t>
  </si>
  <si>
    <t>CDT</t>
  </si>
  <si>
    <t>137 RCI COLOMBIA S.A </t>
  </si>
  <si>
    <t xml:space="preserve"> 142 ELECTRIFICADORA DE SANTANDER             </t>
  </si>
  <si>
    <t xml:space="preserve"> 9   DAVIVIENDA                               </t>
  </si>
  <si>
    <t xml:space="preserve"> 12  BANCOLOMBIA                              </t>
  </si>
  <si>
    <t>TES</t>
  </si>
  <si>
    <t xml:space="preserve"> 106 GOBIERNO REPUBLICA DE COLOMBIA           </t>
  </si>
  <si>
    <t xml:space="preserve"> 146 GASES DEL CARIBE                         </t>
  </si>
  <si>
    <t xml:space="preserve"> 10  POPULAR                                  </t>
  </si>
  <si>
    <t xml:space="preserve"> 103 FINDETER -FINANCIERA DE DESARROLLO TERRI </t>
  </si>
  <si>
    <t xml:space="preserve"> 1   BOGOTA                                   </t>
  </si>
  <si>
    <t>100 EMGESA</t>
  </si>
  <si>
    <t>107 ISA S.A</t>
  </si>
  <si>
    <t>102 GASES DE OCCIDENTE S.A.  E.S.P.</t>
  </si>
  <si>
    <t xml:space="preserve"> 17  B.B.V.A.                                 </t>
  </si>
  <si>
    <t xml:space="preserve"> 14  CAJA SOCIAL                              </t>
  </si>
  <si>
    <t xml:space="preserve"> 137 RCI COLOMBIA S.A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</si>
</sst>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&quot;$&quot;\ #,##0"/>
    <numFmt numFmtId="165" formatCode="&quot;$&quot;\ #,##0.00"/>
    <numFmt numFmtId="167" formatCode="mmm\-yyyy"/>
    <numFmt numFmtId="168" formatCode="_-* #,##0.00\ _€_-;\-* #,##0.00\ _€_-;_-* &quot;-&quot;??\ _€_-;_-@_-"/>
    <numFmt numFmtId="169" formatCode="_ * #,##0_ ;_ * \-#,##0_ ;_ * &quot;-&quot;??_ ;_ @_ "/>
    <numFmt numFmtId="170" formatCode="0.000%"/>
    <numFmt numFmtId="171" formatCode="[$-C0A]dd\-mmm\-yy;@"/>
    <numFmt numFmtId="173" formatCode="_-* #,##0\ _€_-;\-* #,##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Humanst521 BT"/>
      <family val="2"/>
    </font>
    <font>
      <sz val="13"/>
      <name val="Humanst521 BT"/>
      <family val="2"/>
    </font>
    <font>
      <b/>
      <sz val="13"/>
      <name val="Humanst521 BT"/>
      <family val="2"/>
    </font>
    <font>
      <sz val="10"/>
      <name val="Arial"/>
      <family val="2"/>
    </font>
    <font>
      <b/>
      <sz val="11"/>
      <name val="Humanst521 BT"/>
      <family val="2"/>
    </font>
    <font>
      <b/>
      <sz val="10"/>
      <color theme="1"/>
      <name val="Humanst521 BT"/>
      <family val="2"/>
    </font>
    <font>
      <sz val="13"/>
      <color theme="1"/>
      <name val="Humanst521 BT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168" fontId="1" fillId="0" borderId="0" applyFont="0" applyFill="0" applyBorder="0" applyAlignment="0" applyProtection="0"/>
    <xf numFmtId="0" fontId="6" fillId="0" borderId="0"/>
  </cellStyleXfs>
  <cellXfs count="5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164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10" fontId="7" fillId="4" borderId="3" xfId="0" applyNumberFormat="1" applyFont="1" applyFill="1" applyBorder="1" applyAlignment="1">
      <alignment horizontal="center" vertical="center"/>
    </xf>
    <xf numFmtId="0" fontId="5" fillId="5" borderId="3" xfId="2" applyFont="1" applyFill="1" applyBorder="1" applyAlignment="1">
      <alignment horizontal="center" vertical="center" wrapText="1"/>
    </xf>
    <xf numFmtId="167" fontId="5" fillId="5" borderId="3" xfId="2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5" fillId="3" borderId="3" xfId="2" applyFont="1" applyFill="1" applyBorder="1" applyAlignment="1" applyProtection="1">
      <alignment horizontal="center" vertical="center"/>
      <protection locked="0" hidden="1"/>
    </xf>
    <xf numFmtId="0" fontId="4" fillId="0" borderId="3" xfId="2" applyFont="1" applyBorder="1" applyAlignment="1">
      <alignment horizontal="center" vertical="center"/>
    </xf>
    <xf numFmtId="169" fontId="4" fillId="0" borderId="3" xfId="3" applyNumberFormat="1" applyFont="1" applyFill="1" applyBorder="1" applyAlignment="1" applyProtection="1">
      <alignment horizontal="left" vertical="center" wrapText="1"/>
      <protection locked="0" hidden="1"/>
    </xf>
    <xf numFmtId="0" fontId="9" fillId="6" borderId="3" xfId="4" applyFont="1" applyFill="1" applyBorder="1" applyAlignment="1">
      <alignment horizontal="center" vertical="center"/>
    </xf>
    <xf numFmtId="170" fontId="9" fillId="0" borderId="3" xfId="1" applyNumberFormat="1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171" fontId="4" fillId="0" borderId="3" xfId="2" applyNumberFormat="1" applyFont="1" applyBorder="1" applyAlignment="1">
      <alignment horizontal="center" vertical="center"/>
    </xf>
    <xf numFmtId="171" fontId="4" fillId="0" borderId="3" xfId="4" applyNumberFormat="1" applyFont="1" applyBorder="1" applyAlignment="1">
      <alignment horizontal="center" vertical="center"/>
    </xf>
    <xf numFmtId="164" fontId="4" fillId="0" borderId="3" xfId="3" applyNumberFormat="1" applyFont="1" applyFill="1" applyBorder="1" applyAlignment="1">
      <alignment horizontal="right" vertical="center"/>
    </xf>
    <xf numFmtId="164" fontId="4" fillId="0" borderId="5" xfId="3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4" fillId="0" borderId="3" xfId="4" applyFont="1" applyBorder="1" applyAlignment="1">
      <alignment horizontal="center" vertical="center"/>
    </xf>
    <xf numFmtId="170" fontId="4" fillId="0" borderId="3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3" xfId="4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center" vertical="center" wrapText="1"/>
    </xf>
    <xf numFmtId="170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44" fontId="4" fillId="2" borderId="0" xfId="0" applyNumberFormat="1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vertical="center" wrapText="1"/>
    </xf>
    <xf numFmtId="10" fontId="4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4" fontId="4" fillId="0" borderId="3" xfId="3" applyNumberFormat="1" applyFont="1" applyFill="1" applyBorder="1" applyAlignment="1">
      <alignment vertical="center"/>
    </xf>
    <xf numFmtId="0" fontId="5" fillId="2" borderId="0" xfId="2" applyFont="1" applyFill="1" applyAlignment="1" applyProtection="1">
      <alignment horizontal="center" vertical="center"/>
      <protection locked="0" hidden="1"/>
    </xf>
    <xf numFmtId="0" fontId="4" fillId="2" borderId="0" xfId="2" applyFont="1" applyFill="1" applyAlignment="1">
      <alignment horizontal="center" vertical="center"/>
    </xf>
    <xf numFmtId="165" fontId="4" fillId="2" borderId="0" xfId="3" applyNumberFormat="1" applyFont="1" applyFill="1" applyBorder="1" applyAlignment="1">
      <alignment horizontal="right" vertical="center" wrapText="1"/>
    </xf>
    <xf numFmtId="165" fontId="4" fillId="2" borderId="0" xfId="3" applyNumberFormat="1" applyFont="1" applyFill="1" applyBorder="1" applyAlignment="1">
      <alignment horizontal="right" vertical="center"/>
    </xf>
    <xf numFmtId="164" fontId="5" fillId="2" borderId="0" xfId="3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164" fontId="4" fillId="2" borderId="0" xfId="2" applyNumberFormat="1" applyFont="1" applyFill="1" applyAlignment="1">
      <alignment horizontal="left" vertical="center" wrapText="1"/>
    </xf>
    <xf numFmtId="173" fontId="4" fillId="2" borderId="0" xfId="3" applyNumberFormat="1" applyFont="1" applyFill="1" applyAlignment="1">
      <alignment vertical="center"/>
    </xf>
    <xf numFmtId="0" fontId="2" fillId="0" borderId="0" xfId="0" applyFont="1" applyAlignment="1">
      <alignment vertical="center"/>
    </xf>
  </cellXfs>
  <cellStyles count="5">
    <cellStyle name="Millares 3" xfId="3" xr:uid="{78DE8292-F53A-4569-8C30-A1276F757ABF}"/>
    <cellStyle name="Normal" xfId="0" builtinId="0"/>
    <cellStyle name="Normal_fr" xfId="2" xr:uid="{52D94BB5-F182-4EA6-BACD-372C7A958318}"/>
    <cellStyle name="Normal_Hoja1" xfId="4" xr:uid="{9913C96A-F014-48BF-A0EB-72A9390349AD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C\CONFIG~1\Temp\0%20CAPRUIS%20NOV%202012\Informe%20Inversiones%20Sep%2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"/>
      <sheetName val="FRUIS"/>
      <sheetName val="FCOMUN"/>
      <sheetName val="FPP"/>
      <sheetName val="FACYPP"/>
      <sheetName val="PY"/>
      <sheetName val="IPC"/>
      <sheetName val="REDENCIONES"/>
      <sheetName val="DTF"/>
      <sheetName val="TRM"/>
      <sheetName val="REDENCIONES (2)"/>
      <sheetName val="CALCULOS"/>
      <sheetName val="Informe"/>
      <sheetName val="Inf"/>
      <sheetName val="DATOS"/>
      <sheetName val="Infor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">
          <cell r="C3">
            <v>1800.52</v>
          </cell>
        </row>
        <row r="4">
          <cell r="C4">
            <v>203.39240000000001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FA77-A37B-4697-882C-3E71A062DE0F}">
  <sheetPr>
    <tabColor rgb="FFFFC000"/>
  </sheetPr>
  <dimension ref="A1:BQ77"/>
  <sheetViews>
    <sheetView tabSelected="1" zoomScale="80" zoomScaleNormal="80" zoomScaleSheetLayoutView="37" workbookViewId="0">
      <selection activeCell="A8" sqref="A8:L8"/>
    </sheetView>
  </sheetViews>
  <sheetFormatPr baseColWidth="10" defaultColWidth="11.42578125" defaultRowHeight="16.5" x14ac:dyDescent="0.25"/>
  <cols>
    <col min="1" max="1" width="6" style="2" customWidth="1"/>
    <col min="2" max="2" width="24.7109375" style="2" bestFit="1" customWidth="1"/>
    <col min="3" max="3" width="22.5703125" style="4" customWidth="1"/>
    <col min="4" max="4" width="29.42578125" style="2" customWidth="1"/>
    <col min="5" max="5" width="14.140625" style="2" customWidth="1"/>
    <col min="6" max="6" width="10.42578125" style="2" customWidth="1"/>
    <col min="7" max="7" width="17.42578125" style="2" customWidth="1"/>
    <col min="8" max="9" width="13.42578125" style="2" bestFit="1" customWidth="1"/>
    <col min="10" max="10" width="16" style="2" bestFit="1" customWidth="1"/>
    <col min="11" max="12" width="26.42578125" style="2" bestFit="1" customWidth="1"/>
    <col min="13" max="13" width="5.85546875" style="2" customWidth="1"/>
    <col min="14" max="14" width="25.85546875" style="2" customWidth="1"/>
    <col min="15" max="16" width="26.140625" style="2" customWidth="1"/>
    <col min="17" max="17" width="19.42578125" style="2" bestFit="1" customWidth="1"/>
    <col min="18" max="18" width="16.85546875" style="2" customWidth="1"/>
    <col min="19" max="19" width="19" style="2" customWidth="1"/>
    <col min="20" max="20" width="7" style="2" customWidth="1"/>
    <col min="21" max="21" width="28.140625" style="2" bestFit="1" customWidth="1"/>
    <col min="22" max="22" width="21" style="2" bestFit="1" customWidth="1"/>
    <col min="23" max="16384" width="11.42578125" style="2"/>
  </cols>
  <sheetData>
    <row r="1" spans="1:6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69" ht="1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69" ht="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69" ht="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69" x14ac:dyDescent="0.25">
      <c r="K5" s="5"/>
      <c r="L5" s="5"/>
      <c r="N5" s="6"/>
      <c r="O5" s="6"/>
      <c r="P5" s="7"/>
    </row>
    <row r="6" spans="1:69" x14ac:dyDescent="0.25">
      <c r="K6" s="5"/>
      <c r="L6" s="5"/>
    </row>
    <row r="8" spans="1:69" ht="30" x14ac:dyDescent="0.25">
      <c r="A8" s="8" t="s">
        <v>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N8" s="9"/>
      <c r="O8" s="9"/>
      <c r="P8" s="10"/>
      <c r="Q8" s="11" t="s">
        <v>4</v>
      </c>
      <c r="R8" s="12">
        <v>6.2899999999999998E-2</v>
      </c>
    </row>
    <row r="9" spans="1:69" ht="33" x14ac:dyDescent="0.25">
      <c r="A9" s="13" t="s">
        <v>5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10</v>
      </c>
      <c r="G9" s="13" t="s">
        <v>11</v>
      </c>
      <c r="H9" s="13" t="s">
        <v>12</v>
      </c>
      <c r="I9" s="13" t="s">
        <v>13</v>
      </c>
      <c r="J9" s="13" t="s">
        <v>14</v>
      </c>
      <c r="K9" s="13" t="s">
        <v>15</v>
      </c>
      <c r="L9" s="13" t="s">
        <v>16</v>
      </c>
      <c r="N9" s="14">
        <v>46325</v>
      </c>
      <c r="O9" s="14">
        <v>46356</v>
      </c>
      <c r="P9" s="14">
        <v>46386</v>
      </c>
      <c r="Q9" s="15" t="s">
        <v>9</v>
      </c>
      <c r="R9" s="16" t="s">
        <v>10</v>
      </c>
      <c r="S9" s="17" t="s">
        <v>11</v>
      </c>
    </row>
    <row r="10" spans="1:69" x14ac:dyDescent="0.25">
      <c r="A10" s="18">
        <v>1</v>
      </c>
      <c r="B10" s="19" t="s">
        <v>17</v>
      </c>
      <c r="C10" s="20" t="s">
        <v>53</v>
      </c>
      <c r="D10" s="20" t="s">
        <v>54</v>
      </c>
      <c r="E10" s="21" t="s">
        <v>18</v>
      </c>
      <c r="F10" s="22">
        <v>6.4319000000000001E-2</v>
      </c>
      <c r="G10" s="23" t="s">
        <v>19</v>
      </c>
      <c r="H10" s="24">
        <v>43880</v>
      </c>
      <c r="I10" s="24">
        <v>46437</v>
      </c>
      <c r="J10" s="25">
        <v>44435</v>
      </c>
      <c r="K10" s="26">
        <v>500000000</v>
      </c>
      <c r="L10" s="27">
        <v>499735000</v>
      </c>
      <c r="M10" s="28"/>
      <c r="N10" s="29">
        <v>0</v>
      </c>
      <c r="O10" s="29">
        <f>($K10*$F10)/4</f>
        <v>8039875</v>
      </c>
      <c r="P10" s="29">
        <v>0</v>
      </c>
      <c r="Q10" s="30" t="str">
        <f>+E10</f>
        <v>FS</v>
      </c>
      <c r="R10" s="31">
        <f>+F10</f>
        <v>6.4319000000000001E-2</v>
      </c>
      <c r="S10" s="19" t="str">
        <f>+G10</f>
        <v>Trimestral</v>
      </c>
    </row>
    <row r="11" spans="1:69" s="36" customFormat="1" x14ac:dyDescent="0.25">
      <c r="A11" s="18">
        <v>2</v>
      </c>
      <c r="B11" s="32" t="s">
        <v>20</v>
      </c>
      <c r="C11" s="20" t="s">
        <v>53</v>
      </c>
      <c r="D11" s="20" t="s">
        <v>55</v>
      </c>
      <c r="E11" s="33" t="s">
        <v>21</v>
      </c>
      <c r="F11" s="22">
        <v>5.8200000000000002E-2</v>
      </c>
      <c r="G11" s="34" t="s">
        <v>19</v>
      </c>
      <c r="H11" s="24">
        <v>45468</v>
      </c>
      <c r="I11" s="24">
        <v>47659</v>
      </c>
      <c r="J11" s="25">
        <v>45469</v>
      </c>
      <c r="K11" s="26">
        <v>1000000000</v>
      </c>
      <c r="L11" s="27">
        <v>1005210000</v>
      </c>
      <c r="M11" s="28"/>
      <c r="N11" s="29">
        <v>0</v>
      </c>
      <c r="O11" s="29">
        <v>0</v>
      </c>
      <c r="P11" s="29">
        <f>($K11*($F11+$R$8)/4)</f>
        <v>30275000</v>
      </c>
      <c r="Q11" s="30" t="str">
        <f>+E11</f>
        <v>IPC</v>
      </c>
      <c r="R11" s="31">
        <f>+F11</f>
        <v>5.8200000000000002E-2</v>
      </c>
      <c r="S11" s="19" t="str">
        <f>+G11</f>
        <v>Trimestral</v>
      </c>
      <c r="T11" s="35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69" s="36" customFormat="1" x14ac:dyDescent="0.25">
      <c r="A12" s="18">
        <v>3</v>
      </c>
      <c r="B12" s="37" t="s">
        <v>22</v>
      </c>
      <c r="C12" s="20" t="s">
        <v>56</v>
      </c>
      <c r="D12" s="20" t="s">
        <v>57</v>
      </c>
      <c r="E12" s="33" t="s">
        <v>18</v>
      </c>
      <c r="F12" s="22">
        <v>0.13863</v>
      </c>
      <c r="G12" s="34" t="s">
        <v>19</v>
      </c>
      <c r="H12" s="24">
        <v>45257</v>
      </c>
      <c r="I12" s="24">
        <v>47084</v>
      </c>
      <c r="J12" s="25">
        <v>45566</v>
      </c>
      <c r="K12" s="26">
        <v>1000000000</v>
      </c>
      <c r="L12" s="27">
        <v>1150840000</v>
      </c>
      <c r="M12" s="28"/>
      <c r="N12" s="29">
        <v>0</v>
      </c>
      <c r="O12" s="29">
        <f>($K12*$F12)/4</f>
        <v>34657500</v>
      </c>
      <c r="P12" s="29">
        <v>0</v>
      </c>
      <c r="Q12" s="30" t="str">
        <f>+E12</f>
        <v>FS</v>
      </c>
      <c r="R12" s="31">
        <f>+F12</f>
        <v>0.13863</v>
      </c>
      <c r="S12" s="19" t="str">
        <f>+G12</f>
        <v>Trimestral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s="36" customFormat="1" ht="33" x14ac:dyDescent="0.25">
      <c r="A13" s="18">
        <v>4</v>
      </c>
      <c r="B13" s="32" t="s">
        <v>23</v>
      </c>
      <c r="C13" s="20" t="s">
        <v>53</v>
      </c>
      <c r="D13" s="20" t="s">
        <v>58</v>
      </c>
      <c r="E13" s="33" t="s">
        <v>21</v>
      </c>
      <c r="F13" s="22">
        <v>6.1100000000000002E-2</v>
      </c>
      <c r="G13" s="34" t="s">
        <v>19</v>
      </c>
      <c r="H13" s="24">
        <v>45630</v>
      </c>
      <c r="I13" s="24">
        <v>47456</v>
      </c>
      <c r="J13" s="25">
        <v>45631</v>
      </c>
      <c r="K13" s="26">
        <v>1000000000</v>
      </c>
      <c r="L13" s="27">
        <v>1000300000</v>
      </c>
      <c r="M13" s="28"/>
      <c r="N13" s="29">
        <v>0</v>
      </c>
      <c r="O13" s="29">
        <v>0</v>
      </c>
      <c r="P13" s="29">
        <f>($K13*($F13+$R$8)/4)</f>
        <v>31000000</v>
      </c>
      <c r="Q13" s="30" t="str">
        <f>+E13</f>
        <v>IPC</v>
      </c>
      <c r="R13" s="31">
        <f>+F13</f>
        <v>6.1100000000000002E-2</v>
      </c>
      <c r="S13" s="19" t="str">
        <f>+G13</f>
        <v>Trimestral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s="36" customFormat="1" x14ac:dyDescent="0.25">
      <c r="A14" s="18">
        <v>5</v>
      </c>
      <c r="B14" s="32" t="s">
        <v>24</v>
      </c>
      <c r="C14" s="20" t="s">
        <v>56</v>
      </c>
      <c r="D14" s="20" t="s">
        <v>59</v>
      </c>
      <c r="E14" s="33" t="s">
        <v>18</v>
      </c>
      <c r="F14" s="22">
        <v>0.12318999999999999</v>
      </c>
      <c r="G14" s="34" t="s">
        <v>19</v>
      </c>
      <c r="H14" s="24">
        <v>45121</v>
      </c>
      <c r="I14" s="24">
        <v>46948</v>
      </c>
      <c r="J14" s="25">
        <v>45678</v>
      </c>
      <c r="K14" s="26">
        <v>1000000000</v>
      </c>
      <c r="L14" s="27">
        <v>1066860000</v>
      </c>
      <c r="M14" s="28"/>
      <c r="N14" s="29">
        <f>($K14*$F14)/4</f>
        <v>30797500</v>
      </c>
      <c r="O14" s="29">
        <v>0</v>
      </c>
      <c r="P14" s="29">
        <v>0</v>
      </c>
      <c r="Q14" s="30" t="str">
        <f>+E14</f>
        <v>FS</v>
      </c>
      <c r="R14" s="31">
        <f>+F14</f>
        <v>0.12318999999999999</v>
      </c>
      <c r="S14" s="19" t="str">
        <f>+G14</f>
        <v>Trimestral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69" s="36" customFormat="1" x14ac:dyDescent="0.25">
      <c r="A15" s="18">
        <v>6</v>
      </c>
      <c r="B15" s="32" t="s">
        <v>25</v>
      </c>
      <c r="C15" s="20" t="s">
        <v>56</v>
      </c>
      <c r="D15" s="20" t="s">
        <v>60</v>
      </c>
      <c r="E15" s="33" t="s">
        <v>18</v>
      </c>
      <c r="F15" s="22">
        <v>0.12228</v>
      </c>
      <c r="G15" s="34" t="s">
        <v>19</v>
      </c>
      <c r="H15" s="24">
        <v>45131</v>
      </c>
      <c r="I15" s="24">
        <v>47688</v>
      </c>
      <c r="J15" s="25">
        <v>45694</v>
      </c>
      <c r="K15" s="26">
        <v>1000000000</v>
      </c>
      <c r="L15" s="27">
        <v>1076660000</v>
      </c>
      <c r="M15" s="28"/>
      <c r="N15" s="29">
        <f>($K15*$F15)/4</f>
        <v>30570000</v>
      </c>
      <c r="O15" s="29">
        <v>0</v>
      </c>
      <c r="P15" s="29">
        <v>0</v>
      </c>
      <c r="Q15" s="30" t="str">
        <f>+E15</f>
        <v>FS</v>
      </c>
      <c r="R15" s="31">
        <f>+F15</f>
        <v>0.12228</v>
      </c>
      <c r="S15" s="19" t="str">
        <f>+G15</f>
        <v>Trimestral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69" s="36" customFormat="1" x14ac:dyDescent="0.25">
      <c r="A16" s="18">
        <v>7</v>
      </c>
      <c r="B16" s="32" t="s">
        <v>26</v>
      </c>
      <c r="C16" s="20" t="s">
        <v>56</v>
      </c>
      <c r="D16" s="20" t="s">
        <v>60</v>
      </c>
      <c r="E16" s="33" t="s">
        <v>21</v>
      </c>
      <c r="F16" s="22">
        <v>7.1499999999999994E-2</v>
      </c>
      <c r="G16" s="34" t="s">
        <v>19</v>
      </c>
      <c r="H16" s="24">
        <v>44978</v>
      </c>
      <c r="I16" s="24">
        <v>48631</v>
      </c>
      <c r="J16" s="25">
        <v>45903</v>
      </c>
      <c r="K16" s="26">
        <v>2000000000</v>
      </c>
      <c r="L16" s="27">
        <v>2122760000</v>
      </c>
      <c r="M16" s="28"/>
      <c r="N16" s="29">
        <v>0</v>
      </c>
      <c r="O16" s="29">
        <f>($K16*($F16+$R$8)/4)</f>
        <v>67200000</v>
      </c>
      <c r="P16" s="29">
        <v>0</v>
      </c>
      <c r="Q16" s="30" t="str">
        <f>+E16</f>
        <v>IPC</v>
      </c>
      <c r="R16" s="31">
        <f>+F16</f>
        <v>7.1499999999999994E-2</v>
      </c>
      <c r="S16" s="19" t="str">
        <f>+G16</f>
        <v>Trimestral</v>
      </c>
      <c r="T16" s="2"/>
      <c r="U16" s="2"/>
      <c r="V16" s="38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s="36" customFormat="1" ht="49.5" x14ac:dyDescent="0.25">
      <c r="A17" s="18">
        <v>8</v>
      </c>
      <c r="B17" s="32" t="s">
        <v>27</v>
      </c>
      <c r="C17" s="20" t="s">
        <v>61</v>
      </c>
      <c r="D17" s="20" t="s">
        <v>62</v>
      </c>
      <c r="E17" s="33" t="s">
        <v>18</v>
      </c>
      <c r="F17" s="22">
        <v>0.11</v>
      </c>
      <c r="G17" s="34" t="s">
        <v>28</v>
      </c>
      <c r="H17" s="24">
        <v>45526</v>
      </c>
      <c r="I17" s="24">
        <v>47352</v>
      </c>
      <c r="J17" s="25">
        <v>45917</v>
      </c>
      <c r="K17" s="26">
        <v>1000000000</v>
      </c>
      <c r="L17" s="27">
        <v>1027277000</v>
      </c>
      <c r="M17" s="28"/>
      <c r="N17" s="29">
        <v>0</v>
      </c>
      <c r="O17" s="29">
        <v>0</v>
      </c>
      <c r="P17" s="29">
        <v>0</v>
      </c>
      <c r="Q17" s="30" t="str">
        <f>+E17</f>
        <v>FS</v>
      </c>
      <c r="R17" s="31">
        <f>+F17</f>
        <v>0.11</v>
      </c>
      <c r="S17" s="19" t="str">
        <f>+G17</f>
        <v>Anual</v>
      </c>
      <c r="T17" s="2"/>
      <c r="U17" s="2"/>
      <c r="V17" s="38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s="36" customFormat="1" x14ac:dyDescent="0.25">
      <c r="A18" s="18">
        <v>9</v>
      </c>
      <c r="B18" s="32" t="s">
        <v>29</v>
      </c>
      <c r="C18" s="20" t="s">
        <v>53</v>
      </c>
      <c r="D18" s="20" t="s">
        <v>63</v>
      </c>
      <c r="E18" s="33" t="s">
        <v>21</v>
      </c>
      <c r="F18" s="22">
        <v>6.1499999999999999E-2</v>
      </c>
      <c r="G18" s="34" t="s">
        <v>19</v>
      </c>
      <c r="H18" s="24">
        <v>45595</v>
      </c>
      <c r="I18" s="24">
        <v>47421</v>
      </c>
      <c r="J18" s="25">
        <v>45973</v>
      </c>
      <c r="K18" s="26">
        <v>1000000000</v>
      </c>
      <c r="L18" s="27">
        <v>1022570000</v>
      </c>
      <c r="M18" s="28"/>
      <c r="N18" s="29">
        <f>($K18*($F18+$R$8)/4)</f>
        <v>31100000</v>
      </c>
      <c r="O18" s="29">
        <v>0</v>
      </c>
      <c r="P18" s="29">
        <v>0</v>
      </c>
      <c r="Q18" s="30" t="str">
        <f>+E18</f>
        <v>IPC</v>
      </c>
      <c r="R18" s="31">
        <f>+F18</f>
        <v>6.1499999999999999E-2</v>
      </c>
      <c r="S18" s="19" t="str">
        <f>+G18</f>
        <v>Trimestral</v>
      </c>
      <c r="T18" s="2"/>
      <c r="U18" s="2"/>
      <c r="V18" s="38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s="36" customFormat="1" x14ac:dyDescent="0.25">
      <c r="A19" s="18">
        <v>10</v>
      </c>
      <c r="B19" s="32" t="s">
        <v>30</v>
      </c>
      <c r="C19" s="20" t="s">
        <v>56</v>
      </c>
      <c r="D19" s="20" t="s">
        <v>64</v>
      </c>
      <c r="E19" s="33" t="s">
        <v>18</v>
      </c>
      <c r="F19" s="22">
        <v>0.12770000000000001</v>
      </c>
      <c r="G19" s="34" t="s">
        <v>19</v>
      </c>
      <c r="H19" s="24">
        <v>46063</v>
      </c>
      <c r="I19" s="24">
        <v>46793</v>
      </c>
      <c r="J19" s="25">
        <v>46063</v>
      </c>
      <c r="K19" s="26">
        <v>1000000000</v>
      </c>
      <c r="L19" s="27">
        <v>1002460000</v>
      </c>
      <c r="M19" s="28"/>
      <c r="N19" s="29">
        <v>0</v>
      </c>
      <c r="O19" s="29">
        <f>($K19*$F19)/4</f>
        <v>31925000.000000004</v>
      </c>
      <c r="P19" s="29">
        <v>0</v>
      </c>
      <c r="Q19" s="30" t="str">
        <f>+E19</f>
        <v>FS</v>
      </c>
      <c r="R19" s="31">
        <f>+F19</f>
        <v>0.12770000000000001</v>
      </c>
      <c r="S19" s="19" t="str">
        <f>+G19</f>
        <v>Trimestral</v>
      </c>
      <c r="T19" s="2"/>
      <c r="U19" s="2"/>
      <c r="V19" s="38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36" customFormat="1" x14ac:dyDescent="0.25">
      <c r="A20" s="18">
        <v>11</v>
      </c>
      <c r="B20" s="32" t="s">
        <v>31</v>
      </c>
      <c r="C20" s="20" t="s">
        <v>56</v>
      </c>
      <c r="D20" s="20" t="s">
        <v>64</v>
      </c>
      <c r="E20" s="33" t="s">
        <v>18</v>
      </c>
      <c r="F20" s="22">
        <v>0.12820000000000001</v>
      </c>
      <c r="G20" s="34" t="s">
        <v>19</v>
      </c>
      <c r="H20" s="24">
        <v>46072</v>
      </c>
      <c r="I20" s="24">
        <v>46802</v>
      </c>
      <c r="J20" s="25">
        <v>46072</v>
      </c>
      <c r="K20" s="26">
        <v>1000000000</v>
      </c>
      <c r="L20" s="27">
        <v>1001670000</v>
      </c>
      <c r="M20" s="28"/>
      <c r="N20" s="29">
        <v>0</v>
      </c>
      <c r="O20" s="29">
        <f>($K20*$F20)/4</f>
        <v>32050000.000000004</v>
      </c>
      <c r="P20" s="29">
        <v>0</v>
      </c>
      <c r="Q20" s="30" t="str">
        <f>+E20</f>
        <v>FS</v>
      </c>
      <c r="R20" s="31">
        <f>+F20</f>
        <v>0.12820000000000001</v>
      </c>
      <c r="S20" s="19" t="str">
        <f>+G20</f>
        <v>Trimestral</v>
      </c>
      <c r="T20" s="2"/>
      <c r="U20" s="2"/>
      <c r="V20" s="38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s="36" customFormat="1" ht="49.5" x14ac:dyDescent="0.25">
      <c r="A21" s="18">
        <v>12</v>
      </c>
      <c r="B21" s="32" t="s">
        <v>32</v>
      </c>
      <c r="C21" s="20" t="s">
        <v>56</v>
      </c>
      <c r="D21" s="20" t="s">
        <v>65</v>
      </c>
      <c r="E21" s="33" t="s">
        <v>18</v>
      </c>
      <c r="F21" s="22">
        <v>0.13500000000000001</v>
      </c>
      <c r="G21" s="34" t="s">
        <v>19</v>
      </c>
      <c r="H21" s="24">
        <v>46122</v>
      </c>
      <c r="I21" s="24">
        <v>46853</v>
      </c>
      <c r="J21" s="25">
        <v>46136</v>
      </c>
      <c r="K21" s="26">
        <v>1000000000</v>
      </c>
      <c r="L21" s="27">
        <v>1016720000</v>
      </c>
      <c r="M21" s="28"/>
      <c r="N21" s="29">
        <f>($K21*$F21)/4</f>
        <v>33750000</v>
      </c>
      <c r="O21" s="29">
        <v>0</v>
      </c>
      <c r="P21" s="29">
        <v>0</v>
      </c>
      <c r="Q21" s="30" t="str">
        <f>+E21</f>
        <v>FS</v>
      </c>
      <c r="R21" s="31">
        <f>+F21</f>
        <v>0.13500000000000001</v>
      </c>
      <c r="S21" s="19" t="str">
        <f>+G21</f>
        <v>Trimestral</v>
      </c>
      <c r="T21" s="2"/>
      <c r="U21" s="2"/>
      <c r="V21" s="38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36" customFormat="1" x14ac:dyDescent="0.25">
      <c r="A22" s="18">
        <v>13</v>
      </c>
      <c r="B22" s="32" t="s">
        <v>33</v>
      </c>
      <c r="C22" s="20" t="s">
        <v>53</v>
      </c>
      <c r="D22" s="20" t="s">
        <v>59</v>
      </c>
      <c r="E22" s="33" t="s">
        <v>18</v>
      </c>
      <c r="F22" s="22">
        <v>0.14899999999999999</v>
      </c>
      <c r="G22" s="34" t="s">
        <v>19</v>
      </c>
      <c r="H22" s="24">
        <v>46162</v>
      </c>
      <c r="I22" s="24">
        <v>47077</v>
      </c>
      <c r="J22" s="25">
        <v>46197</v>
      </c>
      <c r="K22" s="26">
        <v>1000000000</v>
      </c>
      <c r="L22" s="27">
        <v>1048700000</v>
      </c>
      <c r="M22" s="28"/>
      <c r="N22" s="29">
        <v>0</v>
      </c>
      <c r="O22" s="29">
        <f>($K22*$F22)/4</f>
        <v>37250000</v>
      </c>
      <c r="P22" s="29">
        <v>0</v>
      </c>
      <c r="Q22" s="30" t="str">
        <f>+E22</f>
        <v>FS</v>
      </c>
      <c r="R22" s="31">
        <f>+F22</f>
        <v>0.14899999999999999</v>
      </c>
      <c r="S22" s="19" t="str">
        <f>+G22</f>
        <v>Trimestral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36" customFormat="1" x14ac:dyDescent="0.25">
      <c r="A23" s="18">
        <v>14</v>
      </c>
      <c r="B23" s="32" t="s">
        <v>34</v>
      </c>
      <c r="C23" s="20" t="s">
        <v>53</v>
      </c>
      <c r="D23" s="20" t="s">
        <v>66</v>
      </c>
      <c r="E23" s="33" t="s">
        <v>18</v>
      </c>
      <c r="F23" s="22">
        <v>0.13439999999999999</v>
      </c>
      <c r="G23" s="34" t="s">
        <v>19</v>
      </c>
      <c r="H23" s="24">
        <v>46197</v>
      </c>
      <c r="I23" s="24">
        <v>46928</v>
      </c>
      <c r="J23" s="25">
        <v>46213</v>
      </c>
      <c r="K23" s="26">
        <v>1000000000</v>
      </c>
      <c r="L23" s="27">
        <v>1009280000</v>
      </c>
      <c r="M23" s="28"/>
      <c r="N23" s="29">
        <v>0</v>
      </c>
      <c r="O23" s="29">
        <v>0</v>
      </c>
      <c r="P23" s="29">
        <f>($K23*$F23)/4</f>
        <v>33600000</v>
      </c>
      <c r="Q23" s="30" t="str">
        <f>+E23</f>
        <v>FS</v>
      </c>
      <c r="R23" s="31">
        <f>+F23</f>
        <v>0.13439999999999999</v>
      </c>
      <c r="S23" s="19" t="str">
        <f>+G23</f>
        <v>Trimestral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s="36" customFormat="1" x14ac:dyDescent="0.25">
      <c r="A24" s="18">
        <v>15</v>
      </c>
      <c r="B24" s="32" t="s">
        <v>35</v>
      </c>
      <c r="C24" s="20" t="s">
        <v>56</v>
      </c>
      <c r="D24" s="20" t="s">
        <v>59</v>
      </c>
      <c r="E24" s="33" t="s">
        <v>18</v>
      </c>
      <c r="F24" s="22">
        <v>0.15029999999999999</v>
      </c>
      <c r="G24" s="34" t="s">
        <v>19</v>
      </c>
      <c r="H24" s="24">
        <v>44840</v>
      </c>
      <c r="I24" s="24">
        <v>46666</v>
      </c>
      <c r="J24" s="25">
        <v>46211</v>
      </c>
      <c r="K24" s="26">
        <v>1000000000</v>
      </c>
      <c r="L24" s="26">
        <v>1035670000</v>
      </c>
      <c r="M24" s="28"/>
      <c r="N24" s="29">
        <f>($K24*$F24)/4</f>
        <v>37575000</v>
      </c>
      <c r="O24" s="29">
        <v>0</v>
      </c>
      <c r="P24" s="29"/>
      <c r="Q24" s="30" t="str">
        <f>+E24</f>
        <v>FS</v>
      </c>
      <c r="R24" s="31">
        <f>+F24</f>
        <v>0.15029999999999999</v>
      </c>
      <c r="S24" s="19" t="str">
        <f>+G24</f>
        <v>Trimestral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25">
      <c r="A25" s="39"/>
      <c r="B25" s="39"/>
      <c r="C25" s="40"/>
      <c r="D25" s="39"/>
      <c r="E25" s="39"/>
      <c r="F25" s="41"/>
      <c r="G25" s="39"/>
      <c r="H25" s="39"/>
      <c r="I25" s="39"/>
      <c r="J25" s="39"/>
      <c r="K25" s="42">
        <f>SUM(K10:K24)</f>
        <v>15500000000</v>
      </c>
      <c r="L25" s="42">
        <f>SUM(L10:L24)</f>
        <v>16086712000</v>
      </c>
      <c r="M25" s="28"/>
      <c r="N25" s="43">
        <f>SUM(N10:N24)</f>
        <v>163792500</v>
      </c>
      <c r="O25" s="43">
        <f t="shared" ref="O25:P25" si="0">SUM(O10:O24)</f>
        <v>211122375</v>
      </c>
      <c r="P25" s="43">
        <f t="shared" si="0"/>
        <v>94875000</v>
      </c>
      <c r="Q25" s="28"/>
    </row>
    <row r="26" spans="1:49" x14ac:dyDescent="0.25">
      <c r="N26" s="6"/>
      <c r="O26" s="6"/>
      <c r="P26" s="7"/>
    </row>
    <row r="27" spans="1:49" ht="30" x14ac:dyDescent="0.25">
      <c r="A27" s="8" t="s">
        <v>36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N27" s="9"/>
      <c r="O27" s="9"/>
      <c r="P27" s="44"/>
      <c r="Q27" s="11" t="str">
        <f>+Q8</f>
        <v>IPC Septiembre 2026</v>
      </c>
      <c r="R27" s="12">
        <f>+R8</f>
        <v>6.2899999999999998E-2</v>
      </c>
    </row>
    <row r="28" spans="1:49" ht="33" x14ac:dyDescent="0.25">
      <c r="A28" s="13" t="s">
        <v>5</v>
      </c>
      <c r="B28" s="13" t="s">
        <v>6</v>
      </c>
      <c r="C28" s="13" t="s">
        <v>7</v>
      </c>
      <c r="D28" s="13" t="s">
        <v>8</v>
      </c>
      <c r="E28" s="13" t="s">
        <v>9</v>
      </c>
      <c r="F28" s="13" t="s">
        <v>10</v>
      </c>
      <c r="G28" s="13" t="s">
        <v>11</v>
      </c>
      <c r="H28" s="13" t="s">
        <v>12</v>
      </c>
      <c r="I28" s="13" t="s">
        <v>13</v>
      </c>
      <c r="J28" s="13" t="s">
        <v>14</v>
      </c>
      <c r="K28" s="13" t="s">
        <v>15</v>
      </c>
      <c r="L28" s="13" t="s">
        <v>16</v>
      </c>
      <c r="N28" s="14">
        <f>+N9</f>
        <v>46325</v>
      </c>
      <c r="O28" s="14">
        <f>+O9</f>
        <v>46356</v>
      </c>
      <c r="P28" s="14">
        <f>+P9</f>
        <v>46386</v>
      </c>
      <c r="Q28" s="15" t="s">
        <v>9</v>
      </c>
      <c r="R28" s="16" t="s">
        <v>10</v>
      </c>
      <c r="S28" s="17" t="s">
        <v>11</v>
      </c>
    </row>
    <row r="29" spans="1:49" s="36" customFormat="1" x14ac:dyDescent="0.25">
      <c r="A29" s="18">
        <v>1</v>
      </c>
      <c r="B29" s="19">
        <v>902547408</v>
      </c>
      <c r="C29" s="20" t="s">
        <v>53</v>
      </c>
      <c r="D29" s="20" t="s">
        <v>67</v>
      </c>
      <c r="E29" s="21" t="s">
        <v>21</v>
      </c>
      <c r="F29" s="22">
        <v>3.6400000000000002E-2</v>
      </c>
      <c r="G29" s="23" t="s">
        <v>19</v>
      </c>
      <c r="H29" s="24">
        <v>41274</v>
      </c>
      <c r="I29" s="25">
        <v>46734</v>
      </c>
      <c r="J29" s="25">
        <v>41501</v>
      </c>
      <c r="K29" s="45">
        <v>1000000000</v>
      </c>
      <c r="L29" s="45">
        <v>930533000</v>
      </c>
      <c r="M29" s="28"/>
      <c r="N29" s="29">
        <v>0</v>
      </c>
      <c r="O29" s="29">
        <v>0</v>
      </c>
      <c r="P29" s="29">
        <f>($K29*($F29+$R$8))/4</f>
        <v>24825000</v>
      </c>
      <c r="Q29" s="30" t="str">
        <f>+E29</f>
        <v>IPC</v>
      </c>
      <c r="R29" s="31">
        <f>+F29</f>
        <v>3.6400000000000002E-2</v>
      </c>
      <c r="S29" s="19" t="str">
        <f>+G29</f>
        <v>Trimestral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s="36" customFormat="1" x14ac:dyDescent="0.25">
      <c r="A30" s="18">
        <f t="shared" ref="A30:A45" si="1">+A29+1</f>
        <v>2</v>
      </c>
      <c r="B30" s="19">
        <v>3539176827</v>
      </c>
      <c r="C30" s="20" t="s">
        <v>53</v>
      </c>
      <c r="D30" s="20" t="s">
        <v>68</v>
      </c>
      <c r="E30" s="21" t="s">
        <v>21</v>
      </c>
      <c r="F30" s="22">
        <v>3.2500000000000001E-2</v>
      </c>
      <c r="G30" s="23" t="s">
        <v>19</v>
      </c>
      <c r="H30" s="24">
        <v>41416</v>
      </c>
      <c r="I30" s="25">
        <v>46895</v>
      </c>
      <c r="J30" s="25">
        <v>41962</v>
      </c>
      <c r="K30" s="45">
        <v>1500000000</v>
      </c>
      <c r="L30" s="45">
        <v>1427932500</v>
      </c>
      <c r="M30" s="28"/>
      <c r="N30" s="29">
        <v>0</v>
      </c>
      <c r="O30" s="29">
        <f>($K30*($F30+$R$8))/4</f>
        <v>35775000</v>
      </c>
      <c r="P30" s="29">
        <v>0</v>
      </c>
      <c r="Q30" s="30" t="str">
        <f>+E30</f>
        <v>IPC</v>
      </c>
      <c r="R30" s="31">
        <f>+F30</f>
        <v>3.2500000000000001E-2</v>
      </c>
      <c r="S30" s="19" t="str">
        <f>+G30</f>
        <v>Trimestral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s="36" customFormat="1" ht="33" x14ac:dyDescent="0.25">
      <c r="A31" s="18">
        <f t="shared" si="1"/>
        <v>3</v>
      </c>
      <c r="B31" s="19">
        <v>4092896242</v>
      </c>
      <c r="C31" s="20" t="s">
        <v>53</v>
      </c>
      <c r="D31" s="20" t="s">
        <v>69</v>
      </c>
      <c r="E31" s="21" t="s">
        <v>21</v>
      </c>
      <c r="F31" s="22">
        <v>4.1300000000000003E-2</v>
      </c>
      <c r="G31" s="23" t="s">
        <v>19</v>
      </c>
      <c r="H31" s="24">
        <v>41254</v>
      </c>
      <c r="I31" s="25">
        <v>48559</v>
      </c>
      <c r="J31" s="25">
        <v>42026</v>
      </c>
      <c r="K31" s="45">
        <v>350000000</v>
      </c>
      <c r="L31" s="45">
        <v>350890750</v>
      </c>
      <c r="M31" s="28"/>
      <c r="N31" s="29">
        <v>0</v>
      </c>
      <c r="O31" s="29">
        <v>0</v>
      </c>
      <c r="P31" s="29">
        <f>($K31*($F31+$R$8))/4</f>
        <v>9117500</v>
      </c>
      <c r="Q31" s="30" t="str">
        <f>+E31</f>
        <v>IPC</v>
      </c>
      <c r="R31" s="31">
        <f>+F31</f>
        <v>4.1300000000000003E-2</v>
      </c>
      <c r="S31" s="19" t="str">
        <f>+G31</f>
        <v>Trimestral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s="36" customFormat="1" x14ac:dyDescent="0.25">
      <c r="A32" s="18">
        <f t="shared" si="1"/>
        <v>4</v>
      </c>
      <c r="B32" s="19" t="s">
        <v>37</v>
      </c>
      <c r="C32" s="20" t="s">
        <v>56</v>
      </c>
      <c r="D32" s="20" t="s">
        <v>70</v>
      </c>
      <c r="E32" s="23" t="s">
        <v>18</v>
      </c>
      <c r="F32" s="22">
        <v>0.15076000000000001</v>
      </c>
      <c r="G32" s="23" t="s">
        <v>19</v>
      </c>
      <c r="H32" s="24">
        <v>44841</v>
      </c>
      <c r="I32" s="25">
        <v>46667</v>
      </c>
      <c r="J32" s="25">
        <v>45188</v>
      </c>
      <c r="K32" s="45">
        <v>500000000</v>
      </c>
      <c r="L32" s="45">
        <v>575575000</v>
      </c>
      <c r="M32" s="28"/>
      <c r="N32" s="29">
        <f>($K32*$F32)/4</f>
        <v>18845000</v>
      </c>
      <c r="O32" s="29">
        <v>0</v>
      </c>
      <c r="P32" s="29">
        <v>0</v>
      </c>
      <c r="Q32" s="30" t="str">
        <f>+E32</f>
        <v>FS</v>
      </c>
      <c r="R32" s="31">
        <f>+F32</f>
        <v>0.15076000000000001</v>
      </c>
      <c r="S32" s="19" t="str">
        <f>+G32</f>
        <v>Trimestral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s="36" customFormat="1" x14ac:dyDescent="0.25">
      <c r="A33" s="18">
        <f t="shared" si="1"/>
        <v>5</v>
      </c>
      <c r="B33" s="19" t="s">
        <v>38</v>
      </c>
      <c r="C33" s="20" t="s">
        <v>56</v>
      </c>
      <c r="D33" s="20" t="s">
        <v>70</v>
      </c>
      <c r="E33" s="23" t="s">
        <v>18</v>
      </c>
      <c r="F33" s="22">
        <v>0.16411999999999999</v>
      </c>
      <c r="G33" s="23" t="s">
        <v>19</v>
      </c>
      <c r="H33" s="24">
        <v>44900</v>
      </c>
      <c r="I33" s="25">
        <v>47457</v>
      </c>
      <c r="J33" s="25">
        <v>45434</v>
      </c>
      <c r="K33" s="45">
        <v>1000000000</v>
      </c>
      <c r="L33" s="45">
        <v>1310720000</v>
      </c>
      <c r="M33" s="28"/>
      <c r="N33" s="29">
        <v>0</v>
      </c>
      <c r="O33" s="29">
        <v>0</v>
      </c>
      <c r="P33" s="29">
        <f>($K33*$F33)/4</f>
        <v>41030000</v>
      </c>
      <c r="Q33" s="30" t="str">
        <f>+E33</f>
        <v>FS</v>
      </c>
      <c r="R33" s="31">
        <f>+F33</f>
        <v>0.16411999999999999</v>
      </c>
      <c r="S33" s="19" t="str">
        <f>+G33</f>
        <v>Trimestral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36" customFormat="1" x14ac:dyDescent="0.25">
      <c r="A34" s="18">
        <f t="shared" si="1"/>
        <v>6</v>
      </c>
      <c r="B34" s="32" t="s">
        <v>39</v>
      </c>
      <c r="C34" s="20" t="s">
        <v>56</v>
      </c>
      <c r="D34" s="20" t="s">
        <v>66</v>
      </c>
      <c r="E34" s="33" t="s">
        <v>21</v>
      </c>
      <c r="F34" s="22">
        <v>7.0999999999999994E-2</v>
      </c>
      <c r="G34" s="34" t="s">
        <v>19</v>
      </c>
      <c r="H34" s="24">
        <v>44965</v>
      </c>
      <c r="I34" s="25">
        <v>46791</v>
      </c>
      <c r="J34" s="25">
        <v>45566</v>
      </c>
      <c r="K34" s="45">
        <v>1000000000</v>
      </c>
      <c r="L34" s="45">
        <v>1097360000</v>
      </c>
      <c r="M34" s="28"/>
      <c r="N34" s="29">
        <v>0</v>
      </c>
      <c r="O34" s="29">
        <f>($K34*($F34+$R$8))/4</f>
        <v>33474999.999999996</v>
      </c>
      <c r="P34" s="29">
        <v>0</v>
      </c>
      <c r="Q34" s="30" t="str">
        <f>+E34</f>
        <v>IPC</v>
      </c>
      <c r="R34" s="31">
        <f>+F34</f>
        <v>7.0999999999999994E-2</v>
      </c>
      <c r="S34" s="19" t="str">
        <f>+G34</f>
        <v>Trimestral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s="36" customFormat="1" x14ac:dyDescent="0.25">
      <c r="A35" s="18">
        <f t="shared" si="1"/>
        <v>7</v>
      </c>
      <c r="B35" s="32" t="s">
        <v>40</v>
      </c>
      <c r="C35" s="20" t="s">
        <v>56</v>
      </c>
      <c r="D35" s="20" t="s">
        <v>70</v>
      </c>
      <c r="E35" s="33" t="s">
        <v>18</v>
      </c>
      <c r="F35" s="22">
        <v>0.16278999999999999</v>
      </c>
      <c r="G35" s="34" t="s">
        <v>19</v>
      </c>
      <c r="H35" s="24">
        <v>44896</v>
      </c>
      <c r="I35" s="25">
        <v>46357</v>
      </c>
      <c r="J35" s="25">
        <v>45567</v>
      </c>
      <c r="K35" s="45">
        <v>1000000000</v>
      </c>
      <c r="L35" s="45">
        <v>1152190000</v>
      </c>
      <c r="M35" s="28"/>
      <c r="N35" s="29">
        <v>0</v>
      </c>
      <c r="O35" s="29">
        <v>0</v>
      </c>
      <c r="P35" s="29">
        <f>($K35*$F35)/4</f>
        <v>40697500</v>
      </c>
      <c r="Q35" s="30" t="str">
        <f>+E35</f>
        <v>FS</v>
      </c>
      <c r="R35" s="31">
        <f>+F35</f>
        <v>0.16278999999999999</v>
      </c>
      <c r="S35" s="19" t="str">
        <f>+G35</f>
        <v>Trimestral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36" customFormat="1" ht="33" x14ac:dyDescent="0.25">
      <c r="A36" s="18">
        <f t="shared" si="1"/>
        <v>8</v>
      </c>
      <c r="B36" s="37" t="s">
        <v>23</v>
      </c>
      <c r="C36" s="20" t="s">
        <v>53</v>
      </c>
      <c r="D36" s="20" t="s">
        <v>58</v>
      </c>
      <c r="E36" s="33" t="s">
        <v>21</v>
      </c>
      <c r="F36" s="22">
        <v>6.1100000000000002E-2</v>
      </c>
      <c r="G36" s="34" t="s">
        <v>19</v>
      </c>
      <c r="H36" s="24">
        <v>45630</v>
      </c>
      <c r="I36" s="25">
        <v>47456</v>
      </c>
      <c r="J36" s="25">
        <v>45631</v>
      </c>
      <c r="K36" s="45">
        <v>1000000000</v>
      </c>
      <c r="L36" s="45">
        <v>1000300000</v>
      </c>
      <c r="M36" s="28"/>
      <c r="N36" s="29">
        <v>0</v>
      </c>
      <c r="O36" s="29">
        <v>0</v>
      </c>
      <c r="P36" s="29">
        <f>($K36*($F36+$R$8))/4</f>
        <v>31000000</v>
      </c>
      <c r="Q36" s="30" t="str">
        <f>+E36</f>
        <v>IPC</v>
      </c>
      <c r="R36" s="31">
        <f>+F36</f>
        <v>6.1100000000000002E-2</v>
      </c>
      <c r="S36" s="19" t="str">
        <f>+G36</f>
        <v>Trimestral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36" customFormat="1" x14ac:dyDescent="0.25">
      <c r="A37" s="18">
        <f t="shared" si="1"/>
        <v>9</v>
      </c>
      <c r="B37" s="37" t="s">
        <v>41</v>
      </c>
      <c r="C37" s="20" t="s">
        <v>56</v>
      </c>
      <c r="D37" s="20" t="s">
        <v>60</v>
      </c>
      <c r="E37" s="33" t="s">
        <v>18</v>
      </c>
      <c r="F37" s="22">
        <v>0.12228</v>
      </c>
      <c r="G37" s="34" t="s">
        <v>19</v>
      </c>
      <c r="H37" s="24">
        <v>45131</v>
      </c>
      <c r="I37" s="25">
        <v>47688</v>
      </c>
      <c r="J37" s="25">
        <v>45678</v>
      </c>
      <c r="K37" s="45">
        <v>1000000000</v>
      </c>
      <c r="L37" s="45">
        <v>1082580000</v>
      </c>
      <c r="M37" s="28"/>
      <c r="N37" s="29">
        <f>($K37*$F37)/4</f>
        <v>30570000</v>
      </c>
      <c r="O37" s="29">
        <v>0</v>
      </c>
      <c r="P37" s="29">
        <v>0</v>
      </c>
      <c r="Q37" s="30" t="str">
        <f>+E37</f>
        <v>FS</v>
      </c>
      <c r="R37" s="31">
        <f>+F37</f>
        <v>0.12228</v>
      </c>
      <c r="S37" s="19" t="str">
        <f>+G37</f>
        <v>Trimestral</v>
      </c>
      <c r="T37" s="35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s="36" customFormat="1" x14ac:dyDescent="0.25">
      <c r="A38" s="18">
        <f t="shared" si="1"/>
        <v>10</v>
      </c>
      <c r="B38" s="32" t="s">
        <v>42</v>
      </c>
      <c r="C38" s="20" t="s">
        <v>56</v>
      </c>
      <c r="D38" s="20" t="s">
        <v>70</v>
      </c>
      <c r="E38" s="33" t="s">
        <v>18</v>
      </c>
      <c r="F38" s="22">
        <v>0.16370000000000001</v>
      </c>
      <c r="G38" s="34" t="s">
        <v>19</v>
      </c>
      <c r="H38" s="24">
        <v>44921</v>
      </c>
      <c r="I38" s="25">
        <v>46747</v>
      </c>
      <c r="J38" s="25">
        <v>45758</v>
      </c>
      <c r="K38" s="45">
        <v>1000000000</v>
      </c>
      <c r="L38" s="45">
        <v>1162800000</v>
      </c>
      <c r="M38" s="28"/>
      <c r="N38" s="29">
        <v>0</v>
      </c>
      <c r="O38" s="29">
        <v>0</v>
      </c>
      <c r="P38" s="29">
        <f>($K38*$F38)/4</f>
        <v>40925000</v>
      </c>
      <c r="Q38" s="30" t="str">
        <f>+E38</f>
        <v>FS</v>
      </c>
      <c r="R38" s="31">
        <f>+F38</f>
        <v>0.16370000000000001</v>
      </c>
      <c r="S38" s="19" t="str">
        <f>+G38</f>
        <v>Trimestral</v>
      </c>
      <c r="T38" s="35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s="36" customFormat="1" ht="49.5" x14ac:dyDescent="0.25">
      <c r="A39" s="18">
        <f t="shared" si="1"/>
        <v>11</v>
      </c>
      <c r="B39" s="32" t="s">
        <v>43</v>
      </c>
      <c r="C39" s="20" t="s">
        <v>61</v>
      </c>
      <c r="D39" s="20" t="s">
        <v>62</v>
      </c>
      <c r="E39" s="33" t="s">
        <v>18</v>
      </c>
      <c r="F39" s="22">
        <v>7.7499999999999999E-2</v>
      </c>
      <c r="G39" s="34" t="s">
        <v>28</v>
      </c>
      <c r="H39" s="24">
        <v>41900</v>
      </c>
      <c r="I39" s="25">
        <v>47744</v>
      </c>
      <c r="J39" s="25">
        <v>45903</v>
      </c>
      <c r="K39" s="45">
        <v>1000000000</v>
      </c>
      <c r="L39" s="45">
        <v>960145000</v>
      </c>
      <c r="M39" s="28"/>
      <c r="N39" s="29">
        <v>0</v>
      </c>
      <c r="O39" s="29">
        <v>0</v>
      </c>
      <c r="P39" s="29">
        <v>0</v>
      </c>
      <c r="Q39" s="30" t="str">
        <f>+E39</f>
        <v>FS</v>
      </c>
      <c r="R39" s="31">
        <f>+F39</f>
        <v>7.7499999999999999E-2</v>
      </c>
      <c r="S39" s="19" t="str">
        <f>+G39</f>
        <v>Anual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36" customFormat="1" x14ac:dyDescent="0.25">
      <c r="A40" s="18">
        <f t="shared" si="1"/>
        <v>12</v>
      </c>
      <c r="B40" s="37" t="s">
        <v>44</v>
      </c>
      <c r="C40" s="20" t="s">
        <v>56</v>
      </c>
      <c r="D40" s="20" t="s">
        <v>66</v>
      </c>
      <c r="E40" s="33" t="s">
        <v>21</v>
      </c>
      <c r="F40" s="22">
        <v>7.3999999999999996E-2</v>
      </c>
      <c r="G40" s="34" t="s">
        <v>19</v>
      </c>
      <c r="H40" s="24">
        <v>44960</v>
      </c>
      <c r="I40" s="25">
        <v>46786</v>
      </c>
      <c r="J40" s="25">
        <v>45917</v>
      </c>
      <c r="K40" s="45">
        <v>500000000</v>
      </c>
      <c r="L40" s="45">
        <v>532820000</v>
      </c>
      <c r="M40" s="28"/>
      <c r="N40" s="29">
        <v>0</v>
      </c>
      <c r="O40" s="29">
        <f>($K40*($F40+$R$8))/4</f>
        <v>17112500</v>
      </c>
      <c r="P40" s="29">
        <v>0</v>
      </c>
      <c r="Q40" s="30" t="str">
        <f>+E40</f>
        <v>IPC</v>
      </c>
      <c r="R40" s="31">
        <f>+F40</f>
        <v>7.3999999999999996E-2</v>
      </c>
      <c r="S40" s="19" t="str">
        <f>+G40</f>
        <v>Trimestral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s="36" customFormat="1" x14ac:dyDescent="0.25">
      <c r="A41" s="18">
        <f t="shared" si="1"/>
        <v>13</v>
      </c>
      <c r="B41" s="32" t="s">
        <v>45</v>
      </c>
      <c r="C41" s="20" t="s">
        <v>56</v>
      </c>
      <c r="D41" s="20" t="s">
        <v>70</v>
      </c>
      <c r="E41" s="33" t="s">
        <v>18</v>
      </c>
      <c r="F41" s="22">
        <v>0.15079999999999999</v>
      </c>
      <c r="G41" s="34" t="s">
        <v>19</v>
      </c>
      <c r="H41" s="24">
        <v>44841</v>
      </c>
      <c r="I41" s="25">
        <v>46667</v>
      </c>
      <c r="J41" s="25">
        <v>45954</v>
      </c>
      <c r="K41" s="45">
        <v>1000000000</v>
      </c>
      <c r="L41" s="45">
        <v>1102600000</v>
      </c>
      <c r="M41" s="28"/>
      <c r="N41" s="29">
        <f>($K41*$F41)/4</f>
        <v>37700000</v>
      </c>
      <c r="O41" s="29">
        <v>0</v>
      </c>
      <c r="P41" s="29">
        <v>0</v>
      </c>
      <c r="Q41" s="30" t="str">
        <f>+E41</f>
        <v>FS</v>
      </c>
      <c r="R41" s="31">
        <f>+F41</f>
        <v>0.15079999999999999</v>
      </c>
      <c r="S41" s="19" t="str">
        <f>+G41</f>
        <v>Trimestral</v>
      </c>
      <c r="T41" s="3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36" customFormat="1" ht="33" x14ac:dyDescent="0.25">
      <c r="A42" s="18">
        <f t="shared" si="1"/>
        <v>14</v>
      </c>
      <c r="B42" s="32" t="s">
        <v>46</v>
      </c>
      <c r="C42" s="20" t="s">
        <v>53</v>
      </c>
      <c r="D42" s="20" t="s">
        <v>58</v>
      </c>
      <c r="E42" s="33" t="s">
        <v>21</v>
      </c>
      <c r="F42" s="22">
        <v>6.1100000000000002E-2</v>
      </c>
      <c r="G42" s="34" t="s">
        <v>19</v>
      </c>
      <c r="H42" s="24">
        <v>45630</v>
      </c>
      <c r="I42" s="25">
        <v>47456</v>
      </c>
      <c r="J42" s="25">
        <v>45954</v>
      </c>
      <c r="K42" s="45">
        <v>1000000000</v>
      </c>
      <c r="L42" s="45">
        <v>1034500000</v>
      </c>
      <c r="M42" s="28"/>
      <c r="N42" s="29">
        <v>0</v>
      </c>
      <c r="O42" s="29">
        <v>0</v>
      </c>
      <c r="P42" s="29">
        <f>($K42*($F42+$R$8))/4</f>
        <v>31000000</v>
      </c>
      <c r="Q42" s="30" t="str">
        <f>+E42</f>
        <v>IPC</v>
      </c>
      <c r="R42" s="31">
        <f>+F42</f>
        <v>6.1100000000000002E-2</v>
      </c>
      <c r="S42" s="19" t="str">
        <f>+G42</f>
        <v>Trimestral</v>
      </c>
      <c r="T42" s="3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36" customFormat="1" x14ac:dyDescent="0.25">
      <c r="A43" s="18">
        <f t="shared" si="1"/>
        <v>15</v>
      </c>
      <c r="B43" s="32" t="s">
        <v>47</v>
      </c>
      <c r="C43" s="20" t="s">
        <v>56</v>
      </c>
      <c r="D43" s="20" t="s">
        <v>71</v>
      </c>
      <c r="E43" s="33" t="s">
        <v>18</v>
      </c>
      <c r="F43" s="22">
        <v>0.12180000000000001</v>
      </c>
      <c r="G43" s="34" t="s">
        <v>19</v>
      </c>
      <c r="H43" s="24">
        <v>46043</v>
      </c>
      <c r="I43" s="25">
        <v>46773</v>
      </c>
      <c r="J43" s="25">
        <v>46043</v>
      </c>
      <c r="K43" s="45">
        <v>1000000000</v>
      </c>
      <c r="L43" s="45">
        <v>1001660000</v>
      </c>
      <c r="M43" s="28"/>
      <c r="N43" s="29">
        <f>($K43*$F43)/4</f>
        <v>30450000</v>
      </c>
      <c r="O43" s="29">
        <v>0</v>
      </c>
      <c r="P43" s="29">
        <v>0</v>
      </c>
      <c r="Q43" s="30" t="str">
        <f>+E43</f>
        <v>FS</v>
      </c>
      <c r="R43" s="31">
        <f>+F43</f>
        <v>0.12180000000000001</v>
      </c>
      <c r="S43" s="19" t="str">
        <f>+G43</f>
        <v>Trimestral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s="36" customFormat="1" x14ac:dyDescent="0.25">
      <c r="A44" s="18">
        <f t="shared" si="1"/>
        <v>16</v>
      </c>
      <c r="B44" s="32" t="s">
        <v>48</v>
      </c>
      <c r="C44" s="20" t="s">
        <v>56</v>
      </c>
      <c r="D44" s="20" t="s">
        <v>59</v>
      </c>
      <c r="E44" s="33" t="s">
        <v>18</v>
      </c>
      <c r="F44" s="22">
        <v>0.14230000000000001</v>
      </c>
      <c r="G44" s="34" t="s">
        <v>19</v>
      </c>
      <c r="H44" s="24">
        <v>44791</v>
      </c>
      <c r="I44" s="25">
        <v>46617</v>
      </c>
      <c r="J44" s="25">
        <v>46133</v>
      </c>
      <c r="K44" s="45">
        <v>1000000000</v>
      </c>
      <c r="L44" s="45">
        <v>1043130000</v>
      </c>
      <c r="M44" s="28"/>
      <c r="N44" s="29">
        <v>0</v>
      </c>
      <c r="O44" s="29">
        <f>($K44*$F44)/4</f>
        <v>35575000</v>
      </c>
      <c r="P44" s="29">
        <v>0</v>
      </c>
      <c r="Q44" s="30" t="str">
        <f>+E44</f>
        <v>FS</v>
      </c>
      <c r="R44" s="31">
        <f>+F44</f>
        <v>0.14230000000000001</v>
      </c>
      <c r="S44" s="19" t="str">
        <f>+G44</f>
        <v>Trimestral</v>
      </c>
      <c r="T44" s="35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36" customFormat="1" ht="49.5" x14ac:dyDescent="0.25">
      <c r="A45" s="18">
        <f t="shared" si="1"/>
        <v>17</v>
      </c>
      <c r="B45" s="32" t="s">
        <v>49</v>
      </c>
      <c r="C45" s="20" t="s">
        <v>61</v>
      </c>
      <c r="D45" s="20" t="s">
        <v>62</v>
      </c>
      <c r="E45" s="33" t="s">
        <v>18</v>
      </c>
      <c r="F45" s="22">
        <v>0.125</v>
      </c>
      <c r="G45" s="34" t="s">
        <v>28</v>
      </c>
      <c r="H45" s="24">
        <v>45715</v>
      </c>
      <c r="I45" s="25">
        <v>47541</v>
      </c>
      <c r="J45" s="25">
        <v>46149</v>
      </c>
      <c r="K45" s="45">
        <v>1000000000</v>
      </c>
      <c r="L45" s="45">
        <v>970240000</v>
      </c>
      <c r="M45" s="28"/>
      <c r="N45" s="29">
        <v>0</v>
      </c>
      <c r="O45" s="29">
        <v>0</v>
      </c>
      <c r="P45" s="29">
        <v>0</v>
      </c>
      <c r="Q45" s="30" t="str">
        <f>+E45</f>
        <v>FS</v>
      </c>
      <c r="R45" s="31">
        <f>+F45</f>
        <v>0.125</v>
      </c>
      <c r="S45" s="19" t="str">
        <f>+G45</f>
        <v>Anual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s="36" customFormat="1" x14ac:dyDescent="0.25">
      <c r="A46" s="18">
        <v>18</v>
      </c>
      <c r="B46" s="32" t="s">
        <v>50</v>
      </c>
      <c r="C46" s="20" t="s">
        <v>56</v>
      </c>
      <c r="D46" s="20" t="s">
        <v>70</v>
      </c>
      <c r="E46" s="33" t="s">
        <v>18</v>
      </c>
      <c r="F46" s="22">
        <v>0.16370000000000001</v>
      </c>
      <c r="G46" s="34" t="s">
        <v>19</v>
      </c>
      <c r="H46" s="24">
        <v>44921</v>
      </c>
      <c r="I46" s="25">
        <v>46747</v>
      </c>
      <c r="J46" s="25">
        <v>46164</v>
      </c>
      <c r="K46" s="45">
        <v>1000000000</v>
      </c>
      <c r="L46" s="45">
        <v>1074710000</v>
      </c>
      <c r="M46" s="28"/>
      <c r="N46" s="29">
        <v>0</v>
      </c>
      <c r="O46" s="29">
        <v>0</v>
      </c>
      <c r="P46" s="29">
        <f>($K46*$F46)/4</f>
        <v>40925000</v>
      </c>
      <c r="Q46" s="30" t="str">
        <f>+E46</f>
        <v>FS</v>
      </c>
      <c r="R46" s="31">
        <f>+F46</f>
        <v>0.16370000000000001</v>
      </c>
      <c r="S46" s="19" t="str">
        <f>+G46</f>
        <v>Trimestral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s="36" customFormat="1" x14ac:dyDescent="0.25">
      <c r="A47" s="18">
        <v>19</v>
      </c>
      <c r="B47" s="32" t="s">
        <v>51</v>
      </c>
      <c r="C47" s="20" t="s">
        <v>53</v>
      </c>
      <c r="D47" s="20" t="s">
        <v>66</v>
      </c>
      <c r="E47" s="33" t="s">
        <v>18</v>
      </c>
      <c r="F47" s="22">
        <v>0.12920000000000001</v>
      </c>
      <c r="G47" s="34" t="s">
        <v>19</v>
      </c>
      <c r="H47" s="24">
        <v>46197</v>
      </c>
      <c r="I47" s="25">
        <v>47658</v>
      </c>
      <c r="J47" s="25">
        <v>46233</v>
      </c>
      <c r="K47" s="45">
        <v>1000000000</v>
      </c>
      <c r="L47" s="45">
        <v>1012050000</v>
      </c>
      <c r="M47" s="28"/>
      <c r="N47" s="29">
        <v>0</v>
      </c>
      <c r="O47" s="29">
        <v>0</v>
      </c>
      <c r="P47" s="29">
        <f>($K47*$F47)/4</f>
        <v>32300000.000000004</v>
      </c>
      <c r="Q47" s="30" t="str">
        <f>+E47</f>
        <v>FS</v>
      </c>
      <c r="R47" s="31">
        <f>+F47</f>
        <v>0.12920000000000001</v>
      </c>
      <c r="S47" s="19" t="str">
        <f>+G47</f>
        <v>Trimestral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s="36" customFormat="1" x14ac:dyDescent="0.25">
      <c r="A48" s="18">
        <v>20</v>
      </c>
      <c r="B48" s="32" t="s">
        <v>52</v>
      </c>
      <c r="C48" s="20" t="s">
        <v>56</v>
      </c>
      <c r="D48" s="20" t="s">
        <v>72</v>
      </c>
      <c r="E48" s="33" t="s">
        <v>18</v>
      </c>
      <c r="F48" s="22">
        <v>0.1273</v>
      </c>
      <c r="G48" s="34" t="s">
        <v>19</v>
      </c>
      <c r="H48" s="24">
        <v>46190</v>
      </c>
      <c r="I48" s="25">
        <v>47104</v>
      </c>
      <c r="J48" s="25">
        <v>46295</v>
      </c>
      <c r="K48" s="45">
        <v>1000000000</v>
      </c>
      <c r="L48" s="45">
        <v>1030480000</v>
      </c>
      <c r="M48" s="28"/>
      <c r="N48" s="29">
        <v>0</v>
      </c>
      <c r="O48" s="29">
        <v>0</v>
      </c>
      <c r="P48" s="29">
        <f>($K48*$F48)/4</f>
        <v>31825000</v>
      </c>
      <c r="Q48" s="30" t="str">
        <f>+E48</f>
        <v>FS</v>
      </c>
      <c r="R48" s="31">
        <f>+F48</f>
        <v>0.1273</v>
      </c>
      <c r="S48" s="19" t="str">
        <f>+G48</f>
        <v>Trimestral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17" x14ac:dyDescent="0.25">
      <c r="A49" s="46"/>
      <c r="B49" s="47"/>
      <c r="C49" s="48"/>
      <c r="D49" s="49"/>
      <c r="E49" s="49"/>
      <c r="F49" s="49"/>
      <c r="G49" s="49"/>
      <c r="H49" s="49"/>
      <c r="I49" s="49"/>
      <c r="J49" s="49"/>
      <c r="K49" s="50">
        <f>SUM(K29:K48)</f>
        <v>18850000000</v>
      </c>
      <c r="L49" s="50">
        <f>SUM(L29:L48)</f>
        <v>19853216250</v>
      </c>
      <c r="N49" s="43">
        <f>SUM(N29:N48)</f>
        <v>117565000</v>
      </c>
      <c r="O49" s="43">
        <f>SUM(O29:O48)</f>
        <v>121937500</v>
      </c>
      <c r="P49" s="43">
        <f>SUM(P29:P48)</f>
        <v>323645000</v>
      </c>
      <c r="Q49" s="28"/>
    </row>
    <row r="50" spans="1:17" x14ac:dyDescent="0.25">
      <c r="A50" s="51"/>
      <c r="B50" s="47"/>
      <c r="C50" s="48"/>
      <c r="D50" s="49"/>
      <c r="E50" s="49"/>
      <c r="F50" s="49"/>
      <c r="G50" s="49"/>
      <c r="H50" s="49"/>
      <c r="I50" s="49"/>
      <c r="J50" s="49"/>
      <c r="K50" s="50">
        <f>+K49+K25</f>
        <v>34350000000</v>
      </c>
      <c r="L50" s="50">
        <f>+L49+L25</f>
        <v>35939928250</v>
      </c>
      <c r="N50" s="43">
        <f>SUM(N49,N25)</f>
        <v>281357500</v>
      </c>
      <c r="O50" s="43">
        <f t="shared" ref="O50:P50" si="2">SUM(O49,O25)</f>
        <v>333059875</v>
      </c>
      <c r="P50" s="43">
        <f t="shared" si="2"/>
        <v>418520000</v>
      </c>
    </row>
    <row r="51" spans="1:17" x14ac:dyDescent="0.25">
      <c r="A51" s="46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3"/>
    </row>
    <row r="52" spans="1:17" x14ac:dyDescent="0.25">
      <c r="A52" s="46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spans="1:17" x14ac:dyDescent="0.25">
      <c r="C53" s="2"/>
      <c r="K53" s="54"/>
    </row>
    <row r="54" spans="1:17" x14ac:dyDescent="0.25">
      <c r="A54" s="55"/>
      <c r="C54" s="2"/>
      <c r="K54" s="54"/>
    </row>
    <row r="55" spans="1:17" x14ac:dyDescent="0.25">
      <c r="C55" s="2"/>
      <c r="K55" s="54"/>
    </row>
    <row r="56" spans="1:17" x14ac:dyDescent="0.25">
      <c r="C56" s="2"/>
      <c r="K56" s="54"/>
    </row>
    <row r="57" spans="1:17" x14ac:dyDescent="0.25">
      <c r="C57" s="2"/>
      <c r="K57" s="54"/>
    </row>
    <row r="58" spans="1:17" x14ac:dyDescent="0.25">
      <c r="C58" s="2"/>
      <c r="K58" s="54"/>
    </row>
    <row r="59" spans="1:17" x14ac:dyDescent="0.25">
      <c r="C59" s="2"/>
      <c r="K59" s="54"/>
    </row>
    <row r="60" spans="1:17" x14ac:dyDescent="0.25">
      <c r="C60" s="2"/>
    </row>
    <row r="61" spans="1:17" x14ac:dyDescent="0.25">
      <c r="C61" s="2"/>
    </row>
    <row r="62" spans="1:17" x14ac:dyDescent="0.25">
      <c r="C62" s="2"/>
    </row>
    <row r="63" spans="1:17" x14ac:dyDescent="0.25">
      <c r="C63" s="2"/>
    </row>
    <row r="64" spans="1:17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</sheetData>
  <mergeCells count="7">
    <mergeCell ref="A27:L27"/>
    <mergeCell ref="N27:O27"/>
    <mergeCell ref="A1:Q1"/>
    <mergeCell ref="A2:Q2"/>
    <mergeCell ref="A3:Q3"/>
    <mergeCell ref="A8:L8"/>
    <mergeCell ref="N8:P8"/>
  </mergeCells>
  <printOptions horizontalCentered="1"/>
  <pageMargins left="0.31496062992125984" right="0.31496062992125984" top="0.55118110236220474" bottom="0.35433070866141736" header="0.31496062992125984" footer="0.31496062992125984"/>
  <pageSetup scale="38" orientation="portrait" r:id="rId1"/>
  <rowBreaks count="1" manualBreakCount="1">
    <brk id="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SEPTIEMBRE 2026</vt:lpstr>
      <vt:lpstr>'SEPTIEMBRE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LORENA SANCHEZ MALDONADO</dc:creator>
  <cp:lastModifiedBy>DIANA LORENA SANCHEZ MALDONADO</cp:lastModifiedBy>
  <dcterms:created xsi:type="dcterms:W3CDTF">2026-10-19T12:54:27Z</dcterms:created>
  <dcterms:modified xsi:type="dcterms:W3CDTF">2026-10-19T13:02:59Z</dcterms:modified>
</cp:coreProperties>
</file>